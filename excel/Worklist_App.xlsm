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D:\Automation\Excel Utilities\Worklist Utility\"/>
    </mc:Choice>
  </mc:AlternateContent>
  <xr:revisionPtr revIDLastSave="0" documentId="13_ncr:1_{D7301F3C-A2E6-4B5B-89ED-07784F4FC624}" xr6:coauthVersionLast="47" xr6:coauthVersionMax="47" xr10:uidLastSave="{00000000-0000-0000-0000-000000000000}"/>
  <bookViews>
    <workbookView xWindow="-120" yWindow="-120" windowWidth="29040" windowHeight="15720" xr2:uid="{033F6DA6-7F4F-4FAC-B5BA-9D1915C1676C}"/>
  </bookViews>
  <sheets>
    <sheet name="Sheet1" sheetId="1" r:id="rId1"/>
    <sheet name="Sheet3" sheetId="4" r:id="rId2"/>
    <sheet name="Sheet2" sheetId="5" r:id="rId3"/>
    <sheet name="Sheet4" sheetId="6" r:id="rId4"/>
  </sheets>
  <definedNames>
    <definedName name="_xlnm._FilterDatabase" localSheetId="0" hidden="1">Sheet1!$A$2:$E$105</definedName>
  </definedNames>
  <calcPr calcId="191029"/>
  <pivotCaches>
    <pivotCache cacheId="0" r:id="rId5"/>
    <pivotCache cacheId="7"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1" l="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4" i="1" l="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alcChain>
</file>

<file path=xl/sharedStrings.xml><?xml version="1.0" encoding="utf-8"?>
<sst xmlns="http://schemas.openxmlformats.org/spreadsheetml/2006/main" count="41" uniqueCount="25">
  <si>
    <t>Client Group</t>
  </si>
  <si>
    <t>Deadline</t>
  </si>
  <si>
    <t>Where pending?</t>
  </si>
  <si>
    <t>On our part.</t>
  </si>
  <si>
    <t>On Client part.</t>
  </si>
  <si>
    <t>On Govt. Part.</t>
  </si>
  <si>
    <t>IN EXCEL 365, A2 CELL "Sr. No.", IN CELL B2 "Details", IN CELL C2, "Client Group", IN CELL D2 "Deadline", IN CELL E2 "Where pending?". These are the titles of the columns. write a macro to sort column titled as " Where pending?" in ascending order. Sort till row number 105. Do not sort column A values.</t>
  </si>
  <si>
    <t>Accountant</t>
  </si>
  <si>
    <t>Total 'count' by 'Where pending?'</t>
  </si>
  <si>
    <t>Sum of count</t>
  </si>
  <si>
    <t>(blank)</t>
  </si>
  <si>
    <t>Grand Total</t>
  </si>
  <si>
    <t>Task Description</t>
  </si>
  <si>
    <t>Example Task 1</t>
  </si>
  <si>
    <t>Example Task 3</t>
  </si>
  <si>
    <t>Sr.
No.</t>
  </si>
  <si>
    <t>Ambani Grp</t>
  </si>
  <si>
    <t>Tata Grp</t>
  </si>
  <si>
    <t>Mittal Grp</t>
  </si>
  <si>
    <t>Example Task 4</t>
  </si>
  <si>
    <t>Jackson Grp</t>
  </si>
  <si>
    <t>Example Task 2</t>
  </si>
  <si>
    <t>Write Task Filter Here</t>
  </si>
  <si>
    <t>Distribution of 'Where pending?'</t>
  </si>
  <si>
    <t>Count of Where pending?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</si>
</sst>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color rgb="FFFF0000"/>
      <name val="Aptos Narrow"/>
      <family val="2"/>
      <scheme val="minor"/>
    </font>
    <font>
      <b/>
      <sz val="11"/>
      <color theme="1"/>
      <name val="Aptos Narrow"/>
      <family val="2"/>
      <scheme val="minor"/>
    </font>
    <font>
      <b/>
      <sz val="13"/>
      <color theme="1"/>
      <name val="Aptos Narrow"/>
      <family val="2"/>
      <scheme val="minor"/>
    </font>
    <font>
      <sz val="11"/>
      <color theme="1"/>
      <name val="Aptos"/>
      <family val="2"/>
    </font>
    <font>
      <sz val="11"/>
      <color theme="1"/>
      <name val="Shruti"/>
      <family val="2"/>
    </font>
    <font>
      <b/>
      <i/>
      <sz val="11"/>
      <color rgb="FF000000"/>
      <name val="Calibri"/>
      <family val="2"/>
    </font>
    <font>
      <sz val="10"/>
      <color rgb="FF000000"/>
      <name val="Aptos Narrow"/>
      <family val="2"/>
    </font>
    <font>
      <sz val="9"/>
      <color rgb="FF000000"/>
      <name val="Aptos Narrow"/>
      <family val="2"/>
    </font>
    <font>
      <sz val="11"/>
      <color rgb="FF000000"/>
      <name val="Aptos Narrow"/>
      <family val="2"/>
    </font>
  </fonts>
  <fills count="2">
    <fill>
      <patternFill patternType="none"/>
    </fill>
    <fill>
      <patternFill patternType="gray125"/>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16">
    <xf numFmtId="0" fontId="0" fillId="0" borderId="0" xfId="0"/>
    <xf numFmtId="0" fontId="3" fillId="0" borderId="0" xfId="0" applyFont="1"/>
    <xf numFmtId="0" fontId="2" fillId="0" borderId="1" xfId="0" applyFont="1" applyBorder="1" applyAlignment="1">
      <alignment wrapText="1"/>
    </xf>
    <xf numFmtId="0" fontId="2" fillId="0" borderId="1" xfId="0" applyFont="1" applyBorder="1"/>
    <xf numFmtId="0" fontId="0" fillId="0" borderId="1" xfId="0" applyBorder="1" applyAlignment="1">
      <alignment vertical="top"/>
    </xf>
    <xf numFmtId="0" fontId="1" fillId="0" borderId="0" xfId="0" applyFont="1"/>
    <xf numFmtId="0" fontId="2" fillId="0" borderId="2" xfId="0" applyFont="1" applyBorder="1"/>
    <xf numFmtId="0" fontId="6" fillId="0" borderId="0" xfId="0" applyFont="1" applyAlignment="1">
      <alignment horizontal="left" vertical="center"/>
    </xf>
    <xf numFmtId="0" fontId="0" fillId="0" borderId="0" xfId="0" pivotButton="1"/>
    <xf numFmtId="0" fontId="4" fillId="0" borderId="1" xfId="0" applyFont="1" applyBorder="1" applyAlignment="1" applyProtection="1">
      <alignment vertical="top" shrinkToFit="1"/>
      <protection locked="0"/>
    </xf>
    <xf numFmtId="0" fontId="0" fillId="0" borderId="1" xfId="0" applyBorder="1" applyAlignment="1" applyProtection="1">
      <alignment vertical="top"/>
      <protection locked="0"/>
    </xf>
    <xf numFmtId="14" fontId="0" fillId="0" borderId="1" xfId="0" applyNumberFormat="1" applyBorder="1" applyAlignment="1" applyProtection="1">
      <alignment vertical="top"/>
      <protection locked="0"/>
    </xf>
    <xf numFmtId="0" fontId="0" fillId="0" borderId="1" xfId="0" applyBorder="1" applyAlignment="1" applyProtection="1">
      <alignment vertical="top" shrinkToFit="1"/>
      <protection locked="0"/>
    </xf>
    <xf numFmtId="0" fontId="5" fillId="0" borderId="1" xfId="0" applyFont="1" applyBorder="1" applyAlignment="1" applyProtection="1">
      <alignment vertical="top" shrinkToFit="1"/>
      <protection locked="0"/>
    </xf>
    <xf numFmtId="0" fontId="2" fillId="0" borderId="0" xfId="0" applyFont="1" applyAlignment="1" applyProtection="1">
      <alignment horizontal="right"/>
      <protection locked="0"/>
    </xf>
    <xf numFmtId="0" fontId="0" fillId="0" borderId="0" xfId="0" applyNumberFormat="1"/>
  </cellXfs>
  <cellStyles count="1">
    <cellStyle name="Normal" xfId="0" builtinId="0"/>
  </cellStyles>
  <dxfs count="7">
    <dxf>
      <font>
        <color rgb="FF9C0006"/>
      </font>
      <fill>
        <patternFill>
          <bgColor rgb="FFFFC7CE"/>
        </patternFill>
      </fill>
    </dxf>
    <dxf>
      <font>
        <color rgb="FF9C0006"/>
      </font>
    </dxf>
    <dxf>
      <fill>
        <patternFill>
          <bgColor rgb="FF00B0F0"/>
        </patternFill>
      </fill>
    </dxf>
    <dxf>
      <fill>
        <patternFill>
          <bgColor rgb="FFFFFF00"/>
        </patternFill>
      </fill>
    </dxf>
    <dxf>
      <font>
        <color rgb="FF9C0006"/>
      </font>
      <fill>
        <patternFill>
          <bgColor rgb="FFFFC7CE"/>
        </patternFill>
      </fill>
    </dxf>
    <dxf>
      <fill>
        <patternFill>
          <bgColor theme="9" tint="0.39994506668294322"/>
        </patternFill>
      </fill>
    </dxf>
    <dxf>
      <font>
        <color rgb="FFFF000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[Worklist_App.xlsm]Sheet4!PivotTable2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Distribution of 'Where pending?'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
        <c:idx val="10"/>
        <c:spPr>
          <a:solidFill>
            <a:schemeClr val="accent3"/>
          </a:solidFill>
          <a:ln w="19050">
            <a:solidFill>
              <a:schemeClr val="lt1"/>
            </a:solidFill>
          </a:ln>
          <a:effectLst/>
        </c:spPr>
      </c:pivotFmt>
      <c:pivotFmt>
        <c:idx val="11"/>
        <c:spPr>
          <a:solidFill>
            <a:schemeClr val="accent4"/>
          </a:solidFill>
          <a:ln w="19050">
            <a:solidFill>
              <a:schemeClr val="lt1"/>
            </a:solidFill>
          </a:ln>
          <a:effectLst/>
        </c:spPr>
      </c:pivotFmt>
      <c:pivotFmt>
        <c:idx val="12"/>
        <c:spPr>
          <a:solidFill>
            <a:schemeClr val="accent5"/>
          </a:solidFill>
          <a:ln w="19050">
            <a:solidFill>
              <a:schemeClr val="lt1"/>
            </a:solidFill>
          </a:ln>
          <a:effectLst/>
        </c:spPr>
      </c:pivotFmt>
    </c:pivotFmts>
    <c:plotArea>
      <c:layout>
        <c:manualLayout>
          <c:layoutTarget val="inner"/>
          <c:xMode val="edge"/>
          <c:yMode val="edge"/>
          <c:x val="0.43107133258394958"/>
          <c:y val="0.25297167806612619"/>
          <c:w val="0.24648179454713107"/>
          <c:h val="0.55092624591362094"/>
        </c:manualLayout>
      </c:layout>
      <c:pieChart>
        <c:varyColors val="1"/>
        <c:ser>
          <c:idx val="0"/>
          <c:order val="0"/>
          <c:tx>
            <c:strRef>
              <c:f>Sheet4!$D$4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9FE-41C0-A9EA-74D1EB5FD6D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9FE-41C0-A9EA-74D1EB5FD6D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9FE-41C0-A9EA-74D1EB5FD6D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9FE-41C0-A9EA-74D1EB5FD6D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9FE-41C0-A9EA-74D1EB5FD6D5}"/>
              </c:ext>
            </c:extLst>
          </c:dPt>
          <c:cat>
            <c:strRef>
              <c:f>Sheet4!$C$5:$C$10</c:f>
              <c:strCache>
                <c:ptCount val="5"/>
                <c:pt idx="0">
                  <c:v>On our part.</c:v>
                </c:pt>
                <c:pt idx="1">
                  <c:v>Accountant</c:v>
                </c:pt>
                <c:pt idx="2">
                  <c:v>On Client part.</c:v>
                </c:pt>
                <c:pt idx="3">
                  <c:v>On Govt. Part.</c:v>
                </c:pt>
                <c:pt idx="4">
                  <c:v>(blank)</c:v>
                </c:pt>
              </c:strCache>
            </c:strRef>
          </c:cat>
          <c:val>
            <c:numRef>
              <c:f>Sheet4!$D$5:$D$10</c:f>
              <c:numCache>
                <c:formatCode>General</c:formatCode>
                <c:ptCount val="5"/>
                <c:pt idx="0">
                  <c:v>1</c:v>
                </c:pt>
                <c:pt idx="1">
                  <c:v>1</c:v>
                </c:pt>
                <c:pt idx="2">
                  <c:v>1</c:v>
                </c:pt>
                <c:pt idx="3">
                  <c:v>1</c:v>
                </c:pt>
              </c:numCache>
            </c:numRef>
          </c:val>
          <c:extLst>
            <c:ext xmlns:c16="http://schemas.microsoft.com/office/drawing/2014/chart" uri="{C3380CC4-5D6E-409C-BE32-E72D297353CC}">
              <c16:uniqueId val="{0000000A-59FE-41C0-A9EA-74D1EB5FD6D5}"/>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1.8875391428010306E-2"/>
          <c:y val="0.81089936367927784"/>
          <c:w val="0.95807102434312963"/>
          <c:h val="0.17946044008559417"/>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28575</xdr:rowOff>
        </xdr:from>
        <xdr:to>
          <xdr:col>3</xdr:col>
          <xdr:colOff>819150</xdr:colOff>
          <xdr:row>0</xdr:row>
          <xdr:rowOff>190500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Aptos Narrow"/>
                </a:rPr>
                <a:t>Sort by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47625</xdr:rowOff>
        </xdr:from>
        <xdr:to>
          <xdr:col>2</xdr:col>
          <xdr:colOff>876300</xdr:colOff>
          <xdr:row>0</xdr:row>
          <xdr:rowOff>200025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ptos Narrow"/>
                </a:rPr>
                <a:t>Sort by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990600</xdr:colOff>
          <xdr:row>0</xdr:row>
          <xdr:rowOff>219075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000" b="0" i="0" u="none" strike="noStrike" baseline="0">
                  <a:solidFill>
                    <a:srgbClr val="000000"/>
                  </a:solidFill>
                  <a:latin typeface="Aptos Narrow"/>
                </a:rPr>
                <a:t>Sort Pendancy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38100</xdr:rowOff>
        </xdr:from>
        <xdr:to>
          <xdr:col>1</xdr:col>
          <xdr:colOff>942975</xdr:colOff>
          <xdr:row>0</xdr:row>
          <xdr:rowOff>209550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Task Filter</a:t>
              </a:r>
            </a:p>
          </xdr:txBody>
        </xdr:sp>
        <xdr:clientData fPrintsWithSheet="0"/>
      </xdr:twoCellAnchor>
    </mc:Choice>
    <mc:Fallback/>
  </mc:AlternateContent>
  <xdr:twoCellAnchor>
    <xdr:from>
      <xdr:col>5</xdr:col>
      <xdr:colOff>67668</xdr:colOff>
      <xdr:row>1</xdr:row>
      <xdr:rowOff>273771</xdr:rowOff>
    </xdr:from>
    <xdr:to>
      <xdr:col>10</xdr:col>
      <xdr:colOff>218630</xdr:colOff>
      <xdr:row>9</xdr:row>
      <xdr:rowOff>25665</xdr:rowOff>
    </xdr:to>
    <xdr:graphicFrame macro="">
      <xdr:nvGraphicFramePr>
        <xdr:cNvPr id="3" name="Chart 2" descr="Chart type: Pie. Distribution of 'Where pending?'&#10;&#10;Description automatically generated">
          <a:extLst>
            <a:ext uri="{FF2B5EF4-FFF2-40B4-BE49-F238E27FC236}">
              <a16:creationId xmlns:a16="http://schemas.microsoft.com/office/drawing/2014/main" id="{EF2F3E77-B7E0-40F1-A84E-34FB8BD9E6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jas" refreshedDate="45678.856826620373" createdVersion="8" refreshedVersion="8" minRefreshableVersion="3" recordCount="103" xr:uid="{7956B614-210B-40AF-B428-36A44D25169A}">
  <cacheSource type="worksheet">
    <worksheetSource ref="E2:F105" sheet="Sheet1"/>
  </cacheSource>
  <cacheFields count="2">
    <cacheField name="Where pending?" numFmtId="0">
      <sharedItems containsBlank="1" count="5">
        <s v="On our part."/>
        <s v="On Client part."/>
        <s v="On Govt. Part."/>
        <s v="Accountant"/>
        <m/>
      </sharedItems>
    </cacheField>
    <cacheField name="count" numFmtId="0">
      <sharedItems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jas" refreshedDate="46106.694149884257" createdVersion="8" refreshedVersion="8" minRefreshableVersion="3" recordCount="26" xr:uid="{9E4C6131-C293-4D1F-BAFC-38215256513A}">
  <cacheSource type="worksheet">
    <worksheetSource ref="A2:E28" sheet="Sheet1"/>
  </cacheSource>
  <cacheFields count="5">
    <cacheField name="Sr._x000a_No." numFmtId="0">
      <sharedItems containsMixedTypes="1" containsNumber="1" containsInteger="1" minValue="1" maxValue="4"/>
    </cacheField>
    <cacheField name="Task Description" numFmtId="0">
      <sharedItems containsBlank="1"/>
    </cacheField>
    <cacheField name="Client Group" numFmtId="0">
      <sharedItems containsBlank="1"/>
    </cacheField>
    <cacheField name="Deadline" numFmtId="0">
      <sharedItems containsNonDate="0" containsDate="1" containsString="0" containsBlank="1" minDate="2026-03-20T00:00:00" maxDate="2035-04-01T00:00:00"/>
    </cacheField>
    <cacheField name="Where pending?" numFmtId="0">
      <sharedItems containsBlank="1" count="5">
        <s v="Accountant"/>
        <s v="On our part."/>
        <s v="On Client part."/>
        <s v="On Govt. Part."/>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
  <r>
    <x v="0"/>
    <n v="1"/>
  </r>
  <r>
    <x v="0"/>
    <n v="1"/>
  </r>
  <r>
    <x v="0"/>
    <n v="1"/>
  </r>
  <r>
    <x v="0"/>
    <n v="1"/>
  </r>
  <r>
    <x v="1"/>
    <n v="1"/>
  </r>
  <r>
    <x v="1"/>
    <n v="1"/>
  </r>
  <r>
    <x v="0"/>
    <n v="1"/>
  </r>
  <r>
    <x v="2"/>
    <n v="1"/>
  </r>
  <r>
    <x v="0"/>
    <n v="1"/>
  </r>
  <r>
    <x v="0"/>
    <n v="1"/>
  </r>
  <r>
    <x v="3"/>
    <n v="1"/>
  </r>
  <r>
    <x v="1"/>
    <n v="1"/>
  </r>
  <r>
    <x v="1"/>
    <n v="1"/>
  </r>
  <r>
    <x v="1"/>
    <n v="1"/>
  </r>
  <r>
    <x v="1"/>
    <n v="1"/>
  </r>
  <r>
    <x v="1"/>
    <n v="1"/>
  </r>
  <r>
    <x v="1"/>
    <n v="1"/>
  </r>
  <r>
    <x v="0"/>
    <n v="1"/>
  </r>
  <r>
    <x v="0"/>
    <n v="1"/>
  </r>
  <r>
    <x v="0"/>
    <n v="1"/>
  </r>
  <r>
    <x v="0"/>
    <n v="1"/>
  </r>
  <r>
    <x v="0"/>
    <n v="1"/>
  </r>
  <r>
    <x v="1"/>
    <n v="1"/>
  </r>
  <r>
    <x v="1"/>
    <n v="1"/>
  </r>
  <r>
    <x v="0"/>
    <n v="1"/>
  </r>
  <r>
    <x v="0"/>
    <n v="1"/>
  </r>
  <r>
    <x v="0"/>
    <n v="1"/>
  </r>
  <r>
    <x v="0"/>
    <n v="1"/>
  </r>
  <r>
    <x v="0"/>
    <n v="1"/>
  </r>
  <r>
    <x v="1"/>
    <n v="1"/>
  </r>
  <r>
    <x v="1"/>
    <n v="1"/>
  </r>
  <r>
    <x v="1"/>
    <n v="1"/>
  </r>
  <r>
    <x v="1"/>
    <n v="1"/>
  </r>
  <r>
    <x v="1"/>
    <n v="1"/>
  </r>
  <r>
    <x v="1"/>
    <n v="1"/>
  </r>
  <r>
    <x v="1"/>
    <n v="1"/>
  </r>
  <r>
    <x v="0"/>
    <n v="1"/>
  </r>
  <r>
    <x v="0"/>
    <n v="1"/>
  </r>
  <r>
    <x v="0"/>
    <n v="1"/>
  </r>
  <r>
    <x v="0"/>
    <n v="1"/>
  </r>
  <r>
    <x v="0"/>
    <n v="1"/>
  </r>
  <r>
    <x v="0"/>
    <n v="1"/>
  </r>
  <r>
    <x v="0"/>
    <n v="1"/>
  </r>
  <r>
    <x v="0"/>
    <n v="1"/>
  </r>
  <r>
    <x v="0"/>
    <n v="1"/>
  </r>
  <r>
    <x v="0"/>
    <n v="1"/>
  </r>
  <r>
    <x v="0"/>
    <n v="1"/>
  </r>
  <r>
    <x v="0"/>
    <n v="1"/>
  </r>
  <r>
    <x v="0"/>
    <n v="1"/>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r>
    <x v="4"/>
    <s v=""/>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n v="1"/>
    <s v="Example Task 1"/>
    <s v="Ambani Grp"/>
    <d v="2026-03-20T00:00:00"/>
    <x v="0"/>
  </r>
  <r>
    <n v="2"/>
    <s v="Example Task 2"/>
    <s v="Tata Grp"/>
    <d v="2026-03-25T00:00:00"/>
    <x v="1"/>
  </r>
  <r>
    <n v="3"/>
    <s v="Example Task 3"/>
    <s v="Jackson Grp"/>
    <d v="2035-03-31T00:00:00"/>
    <x v="2"/>
  </r>
  <r>
    <n v="4"/>
    <s v="Example Task 4"/>
    <s v="Mittal Grp"/>
    <d v="2035-03-31T00:00:00"/>
    <x v="3"/>
  </r>
  <r>
    <s v=""/>
    <m/>
    <m/>
    <m/>
    <x v="4"/>
  </r>
  <r>
    <s v=""/>
    <m/>
    <m/>
    <m/>
    <x v="4"/>
  </r>
  <r>
    <s v=""/>
    <m/>
    <m/>
    <m/>
    <x v="4"/>
  </r>
  <r>
    <s v=""/>
    <m/>
    <m/>
    <m/>
    <x v="4"/>
  </r>
  <r>
    <s v=""/>
    <m/>
    <m/>
    <m/>
    <x v="4"/>
  </r>
  <r>
    <s v=""/>
    <m/>
    <m/>
    <m/>
    <x v="4"/>
  </r>
  <r>
    <s v=""/>
    <m/>
    <m/>
    <m/>
    <x v="4"/>
  </r>
  <r>
    <s v=""/>
    <m/>
    <m/>
    <m/>
    <x v="4"/>
  </r>
  <r>
    <s v=""/>
    <m/>
    <m/>
    <m/>
    <x v="4"/>
  </r>
  <r>
    <s v=""/>
    <m/>
    <m/>
    <m/>
    <x v="4"/>
  </r>
  <r>
    <s v=""/>
    <m/>
    <m/>
    <m/>
    <x v="4"/>
  </r>
  <r>
    <s v=""/>
    <m/>
    <m/>
    <m/>
    <x v="4"/>
  </r>
  <r>
    <s v=""/>
    <m/>
    <m/>
    <m/>
    <x v="4"/>
  </r>
  <r>
    <s v=""/>
    <m/>
    <m/>
    <m/>
    <x v="4"/>
  </r>
  <r>
    <s v=""/>
    <m/>
    <m/>
    <m/>
    <x v="4"/>
  </r>
  <r>
    <s v=""/>
    <m/>
    <m/>
    <m/>
    <x v="4"/>
  </r>
  <r>
    <s v=""/>
    <m/>
    <m/>
    <m/>
    <x v="4"/>
  </r>
  <r>
    <s v=""/>
    <m/>
    <m/>
    <m/>
    <x v="4"/>
  </r>
  <r>
    <s v=""/>
    <m/>
    <m/>
    <m/>
    <x v="4"/>
  </r>
  <r>
    <s v=""/>
    <m/>
    <m/>
    <m/>
    <x v="4"/>
  </r>
  <r>
    <s v=""/>
    <m/>
    <m/>
    <m/>
    <x v="4"/>
  </r>
  <r>
    <s v=""/>
    <m/>
    <m/>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50F9BA5-D0AA-42F7-BE98-EB1CC1E74811}"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4">
  <location ref="C4:D10" firstHeaderRow="1" firstDataRow="1" firstDataCol="1"/>
  <pivotFields count="2">
    <pivotField axis="axisRow" compact="0" outline="0" showAll="0" sortType="descending">
      <items count="6">
        <item x="3"/>
        <item x="1"/>
        <item x="2"/>
        <item x="0"/>
        <item x="4"/>
        <item t="default"/>
      </items>
      <autoSortScope>
        <pivotArea dataOnly="0" outline="0" fieldPosition="0">
          <references count="1">
            <reference field="4294967294" count="1" selected="0">
              <x v="0"/>
            </reference>
          </references>
        </pivotArea>
      </autoSortScope>
    </pivotField>
    <pivotField dataField="1" compact="0" outline="0" showAll="0"/>
  </pivotFields>
  <rowFields count="1">
    <field x="0"/>
  </rowFields>
  <rowItems count="6">
    <i>
      <x v="3"/>
    </i>
    <i>
      <x v="1"/>
    </i>
    <i>
      <x/>
    </i>
    <i>
      <x v="2"/>
    </i>
    <i>
      <x v="4"/>
    </i>
    <i t="grand">
      <x/>
    </i>
  </rowItems>
  <colItems count="1">
    <i/>
  </colItems>
  <dataFields count="1">
    <dataField name="Sum of count" fld="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0E637B-29DE-4237-8624-F7D6C1B60821}" name="PivotTable2" cacheId="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5">
  <location ref="C4:D10" firstHeaderRow="1" firstDataRow="1" firstDataCol="1"/>
  <pivotFields count="5">
    <pivotField compact="0" outline="0" showAll="0"/>
    <pivotField compact="0" outline="0" showAll="0"/>
    <pivotField compact="0" outline="0" showAll="0"/>
    <pivotField compact="0" outline="0" showAll="0"/>
    <pivotField axis="axisRow" dataField="1" compact="0" outline="0" showAll="0" sortType="descending">
      <items count="6">
        <item x="0"/>
        <item x="2"/>
        <item x="3"/>
        <item x="1"/>
        <item x="4"/>
        <item t="default"/>
      </items>
      <autoSortScope>
        <pivotArea dataOnly="0" outline="0" fieldPosition="0">
          <references count="1">
            <reference field="4294967294" count="1" selected="0">
              <x v="0"/>
            </reference>
          </references>
        </pivotArea>
      </autoSortScope>
    </pivotField>
  </pivotFields>
  <rowFields count="1">
    <field x="4"/>
  </rowFields>
  <rowItems count="6">
    <i>
      <x v="3"/>
    </i>
    <i>
      <x/>
    </i>
    <i>
      <x v="1"/>
    </i>
    <i>
      <x v="2"/>
    </i>
    <i>
      <x v="4"/>
    </i>
    <i t="grand">
      <x/>
    </i>
  </rowItems>
  <colItems count="1">
    <i/>
  </colItems>
  <dataFields count="1">
    <dataField name="Count of Where pending?" fld="4" subtotal="count" baseField="0" baseItem="0"/>
  </dataFields>
  <chartFormats count="7">
    <chartFormat chart="0" format="0"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4" count="1" selected="0">
            <x v="3"/>
          </reference>
        </references>
      </pivotArea>
    </chartFormat>
    <chartFormat chart="2" format="9">
      <pivotArea type="data" outline="0" fieldPosition="0">
        <references count="2">
          <reference field="4294967294" count="1" selected="0">
            <x v="0"/>
          </reference>
          <reference field="4" count="1" selected="0">
            <x v="0"/>
          </reference>
        </references>
      </pivotArea>
    </chartFormat>
    <chartFormat chart="2" format="10">
      <pivotArea type="data" outline="0" fieldPosition="0">
        <references count="2">
          <reference field="4294967294" count="1" selected="0">
            <x v="0"/>
          </reference>
          <reference field="4" count="1" selected="0">
            <x v="1"/>
          </reference>
        </references>
      </pivotArea>
    </chartFormat>
    <chartFormat chart="2" format="11">
      <pivotArea type="data" outline="0" fieldPosition="0">
        <references count="2">
          <reference field="4294967294" count="1" selected="0">
            <x v="0"/>
          </reference>
          <reference field="4" count="1" selected="0">
            <x v="2"/>
          </reference>
        </references>
      </pivotArea>
    </chartFormat>
    <chartFormat chart="2" format="12">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E51AC-142A-4DDC-9864-7BCC150E0BDD}">
  <sheetPr codeName="Sheet1"/>
  <dimension ref="A1:I105"/>
  <sheetViews>
    <sheetView tabSelected="1" zoomScale="334" zoomScaleNormal="334" workbookViewId="0">
      <pane ySplit="2" topLeftCell="A3" activePane="bottomLeft" state="frozen"/>
      <selection pane="bottomLeft" activeCell="B2" sqref="B2"/>
    </sheetView>
  </sheetViews>
  <sheetFormatPr defaultRowHeight="15" x14ac:dyDescent="0.25"/>
  <cols>
    <col min="1" max="1" width="3.7109375" customWidth="1"/>
    <col min="2" max="2" width="33.7109375" customWidth="1"/>
    <col min="3" max="3" width="13.5703125" customWidth="1"/>
    <col min="4" max="4" width="12.5703125" bestFit="1" customWidth="1"/>
    <col min="5" max="5" width="15.28515625" bestFit="1" customWidth="1"/>
    <col min="6" max="6" width="6.7109375" customWidth="1"/>
  </cols>
  <sheetData>
    <row r="1" spans="1:9" ht="18" customHeight="1" x14ac:dyDescent="0.3">
      <c r="A1" s="1"/>
      <c r="B1" s="14" t="s">
        <v>22</v>
      </c>
      <c r="C1" s="5"/>
      <c r="D1" s="5"/>
      <c r="E1" s="5"/>
    </row>
    <row r="2" spans="1:9" ht="31.5" customHeight="1" x14ac:dyDescent="0.25">
      <c r="A2" s="2" t="s">
        <v>15</v>
      </c>
      <c r="B2" s="3" t="s">
        <v>12</v>
      </c>
      <c r="C2" s="3" t="s">
        <v>0</v>
      </c>
      <c r="D2" s="3" t="s">
        <v>1</v>
      </c>
      <c r="E2" s="3" t="s">
        <v>2</v>
      </c>
      <c r="F2" s="6"/>
    </row>
    <row r="3" spans="1:9" x14ac:dyDescent="0.25">
      <c r="A3" s="4">
        <v>1</v>
      </c>
      <c r="B3" s="9" t="s">
        <v>13</v>
      </c>
      <c r="C3" s="10" t="s">
        <v>16</v>
      </c>
      <c r="D3" s="11">
        <v>46101</v>
      </c>
      <c r="E3" s="10" t="s">
        <v>7</v>
      </c>
      <c r="I3" t="s">
        <v>7</v>
      </c>
    </row>
    <row r="4" spans="1:9" x14ac:dyDescent="0.25">
      <c r="A4" s="4">
        <f>IF(B4="","",A3+1)</f>
        <v>2</v>
      </c>
      <c r="B4" s="9" t="s">
        <v>21</v>
      </c>
      <c r="C4" s="10" t="s">
        <v>17</v>
      </c>
      <c r="D4" s="11">
        <f ca="1">TODAY()</f>
        <v>46106</v>
      </c>
      <c r="E4" s="10" t="s">
        <v>3</v>
      </c>
      <c r="I4" t="s">
        <v>3</v>
      </c>
    </row>
    <row r="5" spans="1:9" x14ac:dyDescent="0.25">
      <c r="A5" s="4">
        <f t="shared" ref="A5:A68" si="0">IF(B5="","",A4+1)</f>
        <v>3</v>
      </c>
      <c r="B5" s="9" t="s">
        <v>14</v>
      </c>
      <c r="C5" s="10" t="s">
        <v>20</v>
      </c>
      <c r="D5" s="11">
        <v>49399</v>
      </c>
      <c r="E5" s="10" t="s">
        <v>4</v>
      </c>
      <c r="I5" t="s">
        <v>4</v>
      </c>
    </row>
    <row r="6" spans="1:9" ht="15" customHeight="1" x14ac:dyDescent="0.25">
      <c r="A6" s="4">
        <f t="shared" si="0"/>
        <v>4</v>
      </c>
      <c r="B6" s="9" t="s">
        <v>19</v>
      </c>
      <c r="C6" s="10" t="s">
        <v>18</v>
      </c>
      <c r="D6" s="11">
        <v>49399</v>
      </c>
      <c r="E6" s="10" t="s">
        <v>5</v>
      </c>
      <c r="I6" t="s">
        <v>5</v>
      </c>
    </row>
    <row r="7" spans="1:9" ht="21" customHeight="1" x14ac:dyDescent="0.25">
      <c r="A7" s="4" t="str">
        <f t="shared" si="0"/>
        <v/>
      </c>
      <c r="B7" s="9"/>
      <c r="C7" s="10"/>
      <c r="D7" s="11"/>
      <c r="E7" s="10"/>
    </row>
    <row r="8" spans="1:9" x14ac:dyDescent="0.25">
      <c r="A8" s="4" t="str">
        <f t="shared" si="0"/>
        <v/>
      </c>
      <c r="B8" s="12"/>
      <c r="C8" s="10"/>
      <c r="D8" s="11"/>
      <c r="E8" s="10"/>
    </row>
    <row r="9" spans="1:9" ht="21" customHeight="1" x14ac:dyDescent="0.25">
      <c r="A9" s="4" t="str">
        <f t="shared" si="0"/>
        <v/>
      </c>
      <c r="B9" s="13"/>
      <c r="C9" s="10"/>
      <c r="D9" s="11"/>
      <c r="E9" s="10"/>
    </row>
    <row r="10" spans="1:9" ht="21" customHeight="1" x14ac:dyDescent="0.25">
      <c r="A10" s="4" t="str">
        <f t="shared" si="0"/>
        <v/>
      </c>
      <c r="B10" s="9"/>
      <c r="C10" s="10"/>
      <c r="D10" s="11"/>
      <c r="E10" s="10"/>
    </row>
    <row r="11" spans="1:9" x14ac:dyDescent="0.25">
      <c r="A11" s="4" t="str">
        <f t="shared" si="0"/>
        <v/>
      </c>
      <c r="B11" s="12"/>
      <c r="C11" s="10"/>
      <c r="D11" s="11"/>
      <c r="E11" s="10"/>
    </row>
    <row r="12" spans="1:9" x14ac:dyDescent="0.25">
      <c r="A12" s="4" t="str">
        <f t="shared" si="0"/>
        <v/>
      </c>
      <c r="B12" s="12"/>
      <c r="C12" s="10"/>
      <c r="D12" s="11"/>
      <c r="E12" s="10"/>
    </row>
    <row r="13" spans="1:9" x14ac:dyDescent="0.25">
      <c r="A13" s="4" t="str">
        <f t="shared" si="0"/>
        <v/>
      </c>
      <c r="B13" s="12"/>
      <c r="C13" s="10"/>
      <c r="D13" s="10"/>
      <c r="E13" s="10"/>
    </row>
    <row r="14" spans="1:9" x14ac:dyDescent="0.25">
      <c r="A14" s="4" t="str">
        <f t="shared" si="0"/>
        <v/>
      </c>
      <c r="B14" s="12"/>
      <c r="C14" s="10"/>
      <c r="D14" s="10"/>
      <c r="E14" s="10"/>
    </row>
    <row r="15" spans="1:9" x14ac:dyDescent="0.25">
      <c r="A15" s="4" t="str">
        <f t="shared" si="0"/>
        <v/>
      </c>
      <c r="B15" s="12"/>
      <c r="C15" s="10"/>
      <c r="D15" s="10"/>
      <c r="E15" s="10"/>
    </row>
    <row r="16" spans="1:9" x14ac:dyDescent="0.25">
      <c r="A16" s="4" t="str">
        <f t="shared" si="0"/>
        <v/>
      </c>
      <c r="B16" s="12"/>
      <c r="C16" s="10"/>
      <c r="D16" s="10"/>
      <c r="E16" s="10"/>
    </row>
    <row r="17" spans="1:5" x14ac:dyDescent="0.25">
      <c r="A17" s="4" t="str">
        <f t="shared" si="0"/>
        <v/>
      </c>
      <c r="B17" s="12"/>
      <c r="C17" s="10"/>
      <c r="D17" s="10"/>
      <c r="E17" s="10"/>
    </row>
    <row r="18" spans="1:5" x14ac:dyDescent="0.25">
      <c r="A18" s="4" t="str">
        <f t="shared" si="0"/>
        <v/>
      </c>
      <c r="B18" s="12"/>
      <c r="C18" s="10"/>
      <c r="D18" s="10"/>
      <c r="E18" s="10"/>
    </row>
    <row r="19" spans="1:5" ht="21" customHeight="1" x14ac:dyDescent="0.25">
      <c r="A19" s="4" t="str">
        <f t="shared" si="0"/>
        <v/>
      </c>
      <c r="B19" s="12"/>
      <c r="C19" s="10"/>
      <c r="D19" s="10"/>
      <c r="E19" s="10"/>
    </row>
    <row r="20" spans="1:5" x14ac:dyDescent="0.25">
      <c r="A20" s="4" t="str">
        <f t="shared" si="0"/>
        <v/>
      </c>
      <c r="B20" s="12"/>
      <c r="C20" s="10"/>
      <c r="D20" s="10"/>
      <c r="E20" s="10"/>
    </row>
    <row r="21" spans="1:5" x14ac:dyDescent="0.25">
      <c r="A21" s="4" t="str">
        <f t="shared" si="0"/>
        <v/>
      </c>
      <c r="B21" s="12"/>
      <c r="C21" s="10"/>
      <c r="D21" s="10"/>
      <c r="E21" s="10"/>
    </row>
    <row r="22" spans="1:5" x14ac:dyDescent="0.25">
      <c r="A22" s="4" t="str">
        <f t="shared" si="0"/>
        <v/>
      </c>
      <c r="B22" s="12"/>
      <c r="C22" s="10"/>
      <c r="D22" s="10"/>
      <c r="E22" s="10"/>
    </row>
    <row r="23" spans="1:5" x14ac:dyDescent="0.25">
      <c r="A23" s="4" t="str">
        <f t="shared" si="0"/>
        <v/>
      </c>
      <c r="B23" s="9"/>
      <c r="C23" s="10"/>
      <c r="D23" s="11"/>
      <c r="E23" s="10"/>
    </row>
    <row r="24" spans="1:5" ht="21" x14ac:dyDescent="0.25">
      <c r="A24" s="4" t="str">
        <f t="shared" si="0"/>
        <v/>
      </c>
      <c r="B24" s="13"/>
      <c r="C24" s="10"/>
      <c r="D24" s="11"/>
      <c r="E24" s="10"/>
    </row>
    <row r="25" spans="1:5" x14ac:dyDescent="0.25">
      <c r="A25" s="4" t="str">
        <f t="shared" si="0"/>
        <v/>
      </c>
      <c r="B25" s="12"/>
      <c r="C25" s="10"/>
      <c r="D25" s="11"/>
      <c r="E25" s="10"/>
    </row>
    <row r="26" spans="1:5" x14ac:dyDescent="0.25">
      <c r="A26" s="4" t="str">
        <f t="shared" si="0"/>
        <v/>
      </c>
      <c r="B26" s="12"/>
      <c r="C26" s="10"/>
      <c r="D26" s="11"/>
      <c r="E26" s="10"/>
    </row>
    <row r="27" spans="1:5" x14ac:dyDescent="0.25">
      <c r="A27" s="4" t="str">
        <f t="shared" si="0"/>
        <v/>
      </c>
      <c r="B27" s="12"/>
      <c r="C27" s="10"/>
      <c r="D27" s="11"/>
      <c r="E27" s="10"/>
    </row>
    <row r="28" spans="1:5" x14ac:dyDescent="0.25">
      <c r="A28" s="4" t="str">
        <f t="shared" si="0"/>
        <v/>
      </c>
      <c r="B28" s="12"/>
      <c r="C28" s="10"/>
      <c r="D28" s="11"/>
      <c r="E28" s="10"/>
    </row>
    <row r="29" spans="1:5" x14ac:dyDescent="0.25">
      <c r="A29" s="4"/>
      <c r="B29" s="12"/>
      <c r="C29" s="10"/>
      <c r="D29" s="10"/>
      <c r="E29" s="10"/>
    </row>
    <row r="30" spans="1:5" ht="21" x14ac:dyDescent="0.25">
      <c r="A30" s="4" t="str">
        <f t="shared" si="0"/>
        <v/>
      </c>
      <c r="B30" s="13"/>
      <c r="C30" s="10"/>
      <c r="D30" s="11"/>
      <c r="E30" s="10"/>
    </row>
    <row r="31" spans="1:5" ht="21" x14ac:dyDescent="0.25">
      <c r="A31" s="4" t="str">
        <f t="shared" si="0"/>
        <v/>
      </c>
      <c r="B31" s="13"/>
      <c r="C31" s="10"/>
      <c r="D31" s="11"/>
      <c r="E31" s="10"/>
    </row>
    <row r="32" spans="1:5" ht="21" x14ac:dyDescent="0.25">
      <c r="A32" s="4" t="str">
        <f t="shared" si="0"/>
        <v/>
      </c>
      <c r="B32" s="13"/>
      <c r="C32" s="10"/>
      <c r="D32" s="11"/>
      <c r="E32" s="10"/>
    </row>
    <row r="33" spans="1:5" x14ac:dyDescent="0.25">
      <c r="A33" s="4" t="str">
        <f t="shared" si="0"/>
        <v/>
      </c>
      <c r="B33" s="12"/>
      <c r="C33" s="10"/>
      <c r="D33" s="11"/>
      <c r="E33" s="10"/>
    </row>
    <row r="34" spans="1:5" ht="21" x14ac:dyDescent="0.25">
      <c r="A34" s="4" t="str">
        <f t="shared" si="0"/>
        <v/>
      </c>
      <c r="B34" s="13"/>
      <c r="C34" s="10"/>
      <c r="D34" s="11"/>
      <c r="E34" s="10"/>
    </row>
    <row r="35" spans="1:5" x14ac:dyDescent="0.25">
      <c r="A35" s="4" t="str">
        <f t="shared" si="0"/>
        <v/>
      </c>
      <c r="B35" s="12"/>
      <c r="C35" s="10"/>
      <c r="D35" s="11"/>
      <c r="E35" s="10"/>
    </row>
    <row r="36" spans="1:5" ht="21" x14ac:dyDescent="0.25">
      <c r="A36" s="4" t="str">
        <f t="shared" si="0"/>
        <v/>
      </c>
      <c r="B36" s="13"/>
      <c r="C36" s="10"/>
      <c r="D36" s="11"/>
      <c r="E36" s="10"/>
    </row>
    <row r="37" spans="1:5" x14ac:dyDescent="0.25">
      <c r="A37" s="4" t="str">
        <f t="shared" si="0"/>
        <v/>
      </c>
      <c r="B37" s="12"/>
      <c r="C37" s="10"/>
      <c r="D37" s="11"/>
      <c r="E37" s="10"/>
    </row>
    <row r="38" spans="1:5" x14ac:dyDescent="0.25">
      <c r="A38" s="4" t="str">
        <f t="shared" si="0"/>
        <v/>
      </c>
      <c r="B38" s="12"/>
      <c r="C38" s="10"/>
      <c r="D38" s="11"/>
      <c r="E38" s="10"/>
    </row>
    <row r="39" spans="1:5" ht="21" x14ac:dyDescent="0.25">
      <c r="A39" s="4" t="str">
        <f t="shared" si="0"/>
        <v/>
      </c>
      <c r="B39" s="13"/>
      <c r="C39" s="10"/>
      <c r="D39" s="10"/>
      <c r="E39" s="10"/>
    </row>
    <row r="40" spans="1:5" x14ac:dyDescent="0.25">
      <c r="A40" s="4" t="str">
        <f t="shared" si="0"/>
        <v/>
      </c>
      <c r="B40" s="9"/>
      <c r="C40" s="10"/>
      <c r="D40" s="11"/>
      <c r="E40" s="10"/>
    </row>
    <row r="41" spans="1:5" x14ac:dyDescent="0.25">
      <c r="A41" s="4" t="str">
        <f t="shared" si="0"/>
        <v/>
      </c>
      <c r="B41" s="12"/>
      <c r="C41" s="10"/>
      <c r="D41" s="11"/>
      <c r="E41" s="10"/>
    </row>
    <row r="42" spans="1:5" ht="21" x14ac:dyDescent="0.25">
      <c r="A42" s="4" t="str">
        <f t="shared" si="0"/>
        <v/>
      </c>
      <c r="B42" s="13"/>
      <c r="C42" s="10"/>
      <c r="D42" s="11"/>
      <c r="E42" s="10"/>
    </row>
    <row r="43" spans="1:5" x14ac:dyDescent="0.25">
      <c r="A43" s="4" t="str">
        <f t="shared" si="0"/>
        <v/>
      </c>
      <c r="B43" s="12"/>
      <c r="C43" s="10"/>
      <c r="D43" s="11"/>
      <c r="E43" s="10"/>
    </row>
    <row r="44" spans="1:5" ht="21" x14ac:dyDescent="0.25">
      <c r="A44" s="4" t="str">
        <f t="shared" si="0"/>
        <v/>
      </c>
      <c r="B44" s="13"/>
      <c r="C44" s="10"/>
      <c r="D44" s="10"/>
      <c r="E44" s="10"/>
    </row>
    <row r="45" spans="1:5" ht="21" x14ac:dyDescent="0.25">
      <c r="A45" s="4" t="str">
        <f t="shared" si="0"/>
        <v/>
      </c>
      <c r="B45" s="13"/>
      <c r="C45" s="10"/>
      <c r="D45" s="10"/>
      <c r="E45" s="10"/>
    </row>
    <row r="46" spans="1:5" x14ac:dyDescent="0.25">
      <c r="A46" s="4" t="str">
        <f t="shared" si="0"/>
        <v/>
      </c>
      <c r="B46" s="12"/>
      <c r="C46" s="10"/>
      <c r="D46" s="11"/>
      <c r="E46" s="10"/>
    </row>
    <row r="47" spans="1:5" x14ac:dyDescent="0.25">
      <c r="A47" s="4" t="str">
        <f t="shared" si="0"/>
        <v/>
      </c>
      <c r="B47" s="12"/>
      <c r="C47" s="10"/>
      <c r="D47" s="11"/>
      <c r="E47" s="10"/>
    </row>
    <row r="48" spans="1:5" x14ac:dyDescent="0.25">
      <c r="A48" s="4" t="str">
        <f t="shared" si="0"/>
        <v/>
      </c>
      <c r="B48" s="12"/>
      <c r="C48" s="10"/>
      <c r="D48" s="11"/>
      <c r="E48" s="10"/>
    </row>
    <row r="49" spans="1:5" x14ac:dyDescent="0.25">
      <c r="A49" s="4" t="str">
        <f t="shared" si="0"/>
        <v/>
      </c>
      <c r="B49" s="12"/>
      <c r="C49" s="10"/>
      <c r="D49" s="11"/>
      <c r="E49" s="10"/>
    </row>
    <row r="50" spans="1:5" x14ac:dyDescent="0.25">
      <c r="A50" s="4" t="str">
        <f t="shared" si="0"/>
        <v/>
      </c>
      <c r="B50" s="12"/>
      <c r="C50" s="10"/>
      <c r="D50" s="11"/>
      <c r="E50" s="10"/>
    </row>
    <row r="51" spans="1:5" x14ac:dyDescent="0.25">
      <c r="A51" s="4" t="str">
        <f t="shared" si="0"/>
        <v/>
      </c>
      <c r="B51" s="12"/>
      <c r="C51" s="10"/>
      <c r="D51" s="11"/>
      <c r="E51" s="10"/>
    </row>
    <row r="52" spans="1:5" x14ac:dyDescent="0.25">
      <c r="A52" s="4" t="str">
        <f t="shared" si="0"/>
        <v/>
      </c>
      <c r="B52" s="12"/>
      <c r="C52" s="10"/>
      <c r="D52" s="11"/>
      <c r="E52" s="10"/>
    </row>
    <row r="53" spans="1:5" x14ac:dyDescent="0.25">
      <c r="A53" s="4" t="str">
        <f t="shared" si="0"/>
        <v/>
      </c>
      <c r="B53" s="12"/>
      <c r="C53" s="10"/>
      <c r="D53" s="11"/>
      <c r="E53" s="10"/>
    </row>
    <row r="54" spans="1:5" x14ac:dyDescent="0.25">
      <c r="A54" s="4" t="str">
        <f t="shared" si="0"/>
        <v/>
      </c>
      <c r="B54" s="12"/>
      <c r="C54" s="10"/>
      <c r="D54" s="11"/>
      <c r="E54" s="10"/>
    </row>
    <row r="55" spans="1:5" ht="21" x14ac:dyDescent="0.25">
      <c r="A55" s="4" t="str">
        <f t="shared" si="0"/>
        <v/>
      </c>
      <c r="B55" s="13"/>
      <c r="C55" s="10"/>
      <c r="D55" s="11"/>
      <c r="E55" s="10"/>
    </row>
    <row r="56" spans="1:5" x14ac:dyDescent="0.25">
      <c r="A56" s="4" t="str">
        <f t="shared" si="0"/>
        <v/>
      </c>
      <c r="B56" s="12"/>
      <c r="C56" s="10"/>
      <c r="D56" s="11"/>
      <c r="E56" s="10"/>
    </row>
    <row r="57" spans="1:5" ht="21" x14ac:dyDescent="0.25">
      <c r="A57" s="4" t="str">
        <f t="shared" si="0"/>
        <v/>
      </c>
      <c r="B57" s="13"/>
      <c r="C57" s="10"/>
      <c r="D57" s="11"/>
      <c r="E57" s="10"/>
    </row>
    <row r="58" spans="1:5" x14ac:dyDescent="0.25">
      <c r="A58" s="4" t="str">
        <f t="shared" si="0"/>
        <v/>
      </c>
      <c r="B58" s="12"/>
      <c r="C58" s="10"/>
      <c r="D58" s="10"/>
      <c r="E58" s="10"/>
    </row>
    <row r="59" spans="1:5" x14ac:dyDescent="0.25">
      <c r="A59" s="4" t="str">
        <f t="shared" si="0"/>
        <v/>
      </c>
      <c r="B59" s="12"/>
      <c r="C59" s="10"/>
      <c r="D59" s="10"/>
      <c r="E59" s="10"/>
    </row>
    <row r="60" spans="1:5" x14ac:dyDescent="0.25">
      <c r="A60" s="4" t="str">
        <f t="shared" si="0"/>
        <v/>
      </c>
      <c r="B60" s="12"/>
      <c r="C60" s="10"/>
      <c r="D60" s="10"/>
      <c r="E60" s="10"/>
    </row>
    <row r="61" spans="1:5" x14ac:dyDescent="0.25">
      <c r="A61" s="4" t="str">
        <f t="shared" si="0"/>
        <v/>
      </c>
      <c r="B61" s="12"/>
      <c r="C61" s="10"/>
      <c r="D61" s="10"/>
      <c r="E61" s="10"/>
    </row>
    <row r="62" spans="1:5" x14ac:dyDescent="0.25">
      <c r="A62" s="4" t="str">
        <f t="shared" si="0"/>
        <v/>
      </c>
      <c r="B62" s="12"/>
      <c r="C62" s="10"/>
      <c r="D62" s="10"/>
      <c r="E62" s="10"/>
    </row>
    <row r="63" spans="1:5" x14ac:dyDescent="0.25">
      <c r="A63" s="4" t="str">
        <f t="shared" si="0"/>
        <v/>
      </c>
      <c r="B63" s="12"/>
      <c r="C63" s="10"/>
      <c r="D63" s="10"/>
      <c r="E63" s="10"/>
    </row>
    <row r="64" spans="1:5" x14ac:dyDescent="0.25">
      <c r="A64" s="4" t="str">
        <f t="shared" si="0"/>
        <v/>
      </c>
      <c r="B64" s="12"/>
      <c r="C64" s="10"/>
      <c r="D64" s="10"/>
      <c r="E64" s="10"/>
    </row>
    <row r="65" spans="1:5" x14ac:dyDescent="0.25">
      <c r="A65" s="4" t="str">
        <f t="shared" si="0"/>
        <v/>
      </c>
      <c r="B65" s="12"/>
      <c r="C65" s="10"/>
      <c r="D65" s="10"/>
      <c r="E65" s="10"/>
    </row>
    <row r="66" spans="1:5" x14ac:dyDescent="0.25">
      <c r="A66" s="4" t="str">
        <f t="shared" si="0"/>
        <v/>
      </c>
      <c r="B66" s="12"/>
      <c r="C66" s="10"/>
      <c r="D66" s="10"/>
      <c r="E66" s="10"/>
    </row>
    <row r="67" spans="1:5" x14ac:dyDescent="0.25">
      <c r="A67" s="4" t="str">
        <f t="shared" si="0"/>
        <v/>
      </c>
      <c r="B67" s="12"/>
      <c r="C67" s="10"/>
      <c r="D67" s="10"/>
      <c r="E67" s="10"/>
    </row>
    <row r="68" spans="1:5" x14ac:dyDescent="0.25">
      <c r="A68" s="4" t="str">
        <f t="shared" si="0"/>
        <v/>
      </c>
      <c r="B68" s="12"/>
      <c r="C68" s="10"/>
      <c r="D68" s="10"/>
      <c r="E68" s="10"/>
    </row>
    <row r="69" spans="1:5" x14ac:dyDescent="0.25">
      <c r="A69" s="4" t="str">
        <f t="shared" ref="A69:A105" si="1">IF(B69="","",A68+1)</f>
        <v/>
      </c>
      <c r="B69" s="12"/>
      <c r="C69" s="10"/>
      <c r="D69" s="10"/>
      <c r="E69" s="10"/>
    </row>
    <row r="70" spans="1:5" x14ac:dyDescent="0.25">
      <c r="A70" s="4" t="str">
        <f t="shared" si="1"/>
        <v/>
      </c>
      <c r="B70" s="12"/>
      <c r="C70" s="10"/>
      <c r="D70" s="10"/>
      <c r="E70" s="10"/>
    </row>
    <row r="71" spans="1:5" x14ac:dyDescent="0.25">
      <c r="A71" s="4" t="str">
        <f t="shared" si="1"/>
        <v/>
      </c>
      <c r="B71" s="12"/>
      <c r="C71" s="10"/>
      <c r="D71" s="10"/>
      <c r="E71" s="10"/>
    </row>
    <row r="72" spans="1:5" x14ac:dyDescent="0.25">
      <c r="A72" s="4" t="str">
        <f t="shared" si="1"/>
        <v/>
      </c>
      <c r="B72" s="12"/>
      <c r="C72" s="10"/>
      <c r="D72" s="10"/>
      <c r="E72" s="10"/>
    </row>
    <row r="73" spans="1:5" x14ac:dyDescent="0.25">
      <c r="A73" s="4" t="str">
        <f t="shared" si="1"/>
        <v/>
      </c>
      <c r="B73" s="12"/>
      <c r="C73" s="10"/>
      <c r="D73" s="10"/>
      <c r="E73" s="10"/>
    </row>
    <row r="74" spans="1:5" x14ac:dyDescent="0.25">
      <c r="A74" s="4" t="str">
        <f t="shared" si="1"/>
        <v/>
      </c>
      <c r="B74" s="12"/>
      <c r="C74" s="10"/>
      <c r="D74" s="10"/>
      <c r="E74" s="10"/>
    </row>
    <row r="75" spans="1:5" x14ac:dyDescent="0.25">
      <c r="A75" s="4" t="str">
        <f t="shared" si="1"/>
        <v/>
      </c>
      <c r="B75" s="12"/>
      <c r="C75" s="10"/>
      <c r="D75" s="10"/>
      <c r="E75" s="10"/>
    </row>
    <row r="76" spans="1:5" x14ac:dyDescent="0.25">
      <c r="A76" s="4" t="str">
        <f t="shared" si="1"/>
        <v/>
      </c>
      <c r="B76" s="12"/>
      <c r="C76" s="10"/>
      <c r="D76" s="10"/>
      <c r="E76" s="10"/>
    </row>
    <row r="77" spans="1:5" x14ac:dyDescent="0.25">
      <c r="A77" s="4" t="str">
        <f t="shared" si="1"/>
        <v/>
      </c>
      <c r="B77" s="12"/>
      <c r="C77" s="10"/>
      <c r="D77" s="10"/>
      <c r="E77" s="10"/>
    </row>
    <row r="78" spans="1:5" x14ac:dyDescent="0.25">
      <c r="A78" s="4" t="str">
        <f t="shared" si="1"/>
        <v/>
      </c>
      <c r="B78" s="12"/>
      <c r="C78" s="10"/>
      <c r="D78" s="10"/>
      <c r="E78" s="10"/>
    </row>
    <row r="79" spans="1:5" x14ac:dyDescent="0.25">
      <c r="A79" s="4" t="str">
        <f t="shared" si="1"/>
        <v/>
      </c>
      <c r="B79" s="12"/>
      <c r="C79" s="10"/>
      <c r="D79" s="10"/>
      <c r="E79" s="10"/>
    </row>
    <row r="80" spans="1:5" x14ac:dyDescent="0.25">
      <c r="A80" s="4" t="str">
        <f t="shared" si="1"/>
        <v/>
      </c>
      <c r="B80" s="12"/>
      <c r="C80" s="10"/>
      <c r="D80" s="10"/>
      <c r="E80" s="10"/>
    </row>
    <row r="81" spans="1:5" x14ac:dyDescent="0.25">
      <c r="A81" s="4" t="str">
        <f t="shared" si="1"/>
        <v/>
      </c>
      <c r="B81" s="12"/>
      <c r="C81" s="10"/>
      <c r="D81" s="10"/>
      <c r="E81" s="10"/>
    </row>
    <row r="82" spans="1:5" x14ac:dyDescent="0.25">
      <c r="A82" s="4" t="str">
        <f t="shared" si="1"/>
        <v/>
      </c>
      <c r="B82" s="12"/>
      <c r="C82" s="10"/>
      <c r="D82" s="10"/>
      <c r="E82" s="10"/>
    </row>
    <row r="83" spans="1:5" x14ac:dyDescent="0.25">
      <c r="A83" s="4" t="str">
        <f t="shared" si="1"/>
        <v/>
      </c>
      <c r="B83" s="12"/>
      <c r="C83" s="10"/>
      <c r="D83" s="10"/>
      <c r="E83" s="10"/>
    </row>
    <row r="84" spans="1:5" x14ac:dyDescent="0.25">
      <c r="A84" s="4" t="str">
        <f t="shared" si="1"/>
        <v/>
      </c>
      <c r="B84" s="12"/>
      <c r="C84" s="10"/>
      <c r="D84" s="10"/>
      <c r="E84" s="10"/>
    </row>
    <row r="85" spans="1:5" x14ac:dyDescent="0.25">
      <c r="A85" s="4" t="str">
        <f t="shared" si="1"/>
        <v/>
      </c>
      <c r="B85" s="12"/>
      <c r="C85" s="10"/>
      <c r="D85" s="10"/>
      <c r="E85" s="10"/>
    </row>
    <row r="86" spans="1:5" x14ac:dyDescent="0.25">
      <c r="A86" s="4" t="str">
        <f t="shared" si="1"/>
        <v/>
      </c>
      <c r="B86" s="12"/>
      <c r="C86" s="10"/>
      <c r="D86" s="10"/>
      <c r="E86" s="10"/>
    </row>
    <row r="87" spans="1:5" x14ac:dyDescent="0.25">
      <c r="A87" s="4" t="str">
        <f t="shared" si="1"/>
        <v/>
      </c>
      <c r="B87" s="12"/>
      <c r="C87" s="10"/>
      <c r="D87" s="10"/>
      <c r="E87" s="10"/>
    </row>
    <row r="88" spans="1:5" x14ac:dyDescent="0.25">
      <c r="A88" s="4" t="str">
        <f t="shared" si="1"/>
        <v/>
      </c>
      <c r="B88" s="12"/>
      <c r="C88" s="10"/>
      <c r="D88" s="10"/>
      <c r="E88" s="10"/>
    </row>
    <row r="89" spans="1:5" x14ac:dyDescent="0.25">
      <c r="A89" s="4" t="str">
        <f t="shared" si="1"/>
        <v/>
      </c>
      <c r="B89" s="12"/>
      <c r="C89" s="10"/>
      <c r="D89" s="10"/>
      <c r="E89" s="10"/>
    </row>
    <row r="90" spans="1:5" x14ac:dyDescent="0.25">
      <c r="A90" s="4" t="str">
        <f t="shared" si="1"/>
        <v/>
      </c>
      <c r="B90" s="12"/>
      <c r="C90" s="10"/>
      <c r="D90" s="10"/>
      <c r="E90" s="10"/>
    </row>
    <row r="91" spans="1:5" x14ac:dyDescent="0.25">
      <c r="A91" s="4" t="str">
        <f t="shared" si="1"/>
        <v/>
      </c>
      <c r="B91" s="12"/>
      <c r="C91" s="10"/>
      <c r="D91" s="10"/>
      <c r="E91" s="10"/>
    </row>
    <row r="92" spans="1:5" x14ac:dyDescent="0.25">
      <c r="A92" s="4" t="str">
        <f t="shared" si="1"/>
        <v/>
      </c>
      <c r="B92" s="12"/>
      <c r="C92" s="10"/>
      <c r="D92" s="10"/>
      <c r="E92" s="10"/>
    </row>
    <row r="93" spans="1:5" x14ac:dyDescent="0.25">
      <c r="A93" s="4" t="str">
        <f t="shared" si="1"/>
        <v/>
      </c>
      <c r="B93" s="12"/>
      <c r="C93" s="10"/>
      <c r="D93" s="10"/>
      <c r="E93" s="10"/>
    </row>
    <row r="94" spans="1:5" x14ac:dyDescent="0.25">
      <c r="A94" s="4" t="str">
        <f t="shared" si="1"/>
        <v/>
      </c>
      <c r="B94" s="12"/>
      <c r="C94" s="10"/>
      <c r="D94" s="10"/>
      <c r="E94" s="10"/>
    </row>
    <row r="95" spans="1:5" x14ac:dyDescent="0.25">
      <c r="A95" s="4" t="str">
        <f t="shared" si="1"/>
        <v/>
      </c>
      <c r="B95" s="12"/>
      <c r="C95" s="10"/>
      <c r="D95" s="10"/>
      <c r="E95" s="10"/>
    </row>
    <row r="96" spans="1:5" x14ac:dyDescent="0.25">
      <c r="A96" s="4" t="str">
        <f t="shared" si="1"/>
        <v/>
      </c>
      <c r="B96" s="12"/>
      <c r="C96" s="10"/>
      <c r="D96" s="10"/>
      <c r="E96" s="10"/>
    </row>
    <row r="97" spans="1:5" x14ac:dyDescent="0.25">
      <c r="A97" s="4" t="str">
        <f t="shared" si="1"/>
        <v/>
      </c>
      <c r="B97" s="12"/>
      <c r="C97" s="10"/>
      <c r="D97" s="10"/>
      <c r="E97" s="10"/>
    </row>
    <row r="98" spans="1:5" x14ac:dyDescent="0.25">
      <c r="A98" s="4" t="str">
        <f t="shared" si="1"/>
        <v/>
      </c>
      <c r="B98" s="12"/>
      <c r="C98" s="10"/>
      <c r="D98" s="10"/>
      <c r="E98" s="10"/>
    </row>
    <row r="99" spans="1:5" x14ac:dyDescent="0.25">
      <c r="A99" s="4" t="str">
        <f t="shared" si="1"/>
        <v/>
      </c>
      <c r="B99" s="12"/>
      <c r="C99" s="10"/>
      <c r="D99" s="10"/>
      <c r="E99" s="10"/>
    </row>
    <row r="100" spans="1:5" x14ac:dyDescent="0.25">
      <c r="A100" s="4" t="str">
        <f t="shared" si="1"/>
        <v/>
      </c>
      <c r="B100" s="12"/>
      <c r="C100" s="10"/>
      <c r="D100" s="10"/>
      <c r="E100" s="10"/>
    </row>
    <row r="101" spans="1:5" x14ac:dyDescent="0.25">
      <c r="A101" s="4" t="str">
        <f t="shared" si="1"/>
        <v/>
      </c>
      <c r="B101" s="12"/>
      <c r="C101" s="10"/>
      <c r="D101" s="10"/>
      <c r="E101" s="10"/>
    </row>
    <row r="102" spans="1:5" x14ac:dyDescent="0.25">
      <c r="A102" s="4" t="str">
        <f t="shared" si="1"/>
        <v/>
      </c>
      <c r="B102" s="12"/>
      <c r="C102" s="10"/>
      <c r="D102" s="10"/>
      <c r="E102" s="10"/>
    </row>
    <row r="103" spans="1:5" x14ac:dyDescent="0.25">
      <c r="A103" s="4" t="str">
        <f t="shared" si="1"/>
        <v/>
      </c>
      <c r="B103" s="12"/>
      <c r="C103" s="10"/>
      <c r="D103" s="10"/>
      <c r="E103" s="10"/>
    </row>
    <row r="104" spans="1:5" x14ac:dyDescent="0.25">
      <c r="A104" s="4" t="str">
        <f t="shared" si="1"/>
        <v/>
      </c>
      <c r="B104" s="12"/>
      <c r="C104" s="10"/>
      <c r="D104" s="10"/>
      <c r="E104" s="10"/>
    </row>
    <row r="105" spans="1:5" x14ac:dyDescent="0.25">
      <c r="A105" s="4" t="str">
        <f t="shared" si="1"/>
        <v/>
      </c>
      <c r="B105" s="12"/>
      <c r="C105" s="10"/>
      <c r="D105" s="10"/>
      <c r="E105" s="10"/>
    </row>
  </sheetData>
  <sheetProtection algorithmName="SHA-512" hashValue="J0AqTZBNSMUZfJp0Yg4n0UHcx9g9Uz4unN48WWUdwpAZEkz49L71HCVezxgYyOKlLQyGOynZQEewUybdXKy1+g==" saltValue="T6TIRdbO3j4WGykdLdL5Ew==" spinCount="100000" sheet="1" objects="1" scenarios="1" autoFilter="0"/>
  <autoFilter ref="A2:E105" xr:uid="{2C7E51AC-142A-4DDC-9864-7BCC150E0BDD}"/>
  <sortState xmlns:xlrd2="http://schemas.microsoft.com/office/spreadsheetml/2017/richdata2" ref="B3:E105">
    <sortCondition ref="D2:D105"/>
  </sortState>
  <conditionalFormatting sqref="D3:D105">
    <cfRule type="expression" dxfId="6" priority="3">
      <formula>TODAY()+1&gt;=$D3</formula>
    </cfRule>
    <cfRule type="expression" dxfId="5" priority="1">
      <formula>TODAY()=$D3</formula>
    </cfRule>
  </conditionalFormatting>
  <dataValidations count="2">
    <dataValidation type="list" allowBlank="1" showInputMessage="1" showErrorMessage="1" sqref="E3:E105" xr:uid="{86EE2ADA-7EE6-485F-B1F3-5B0AD64F7B1E}">
      <formula1>$I$3:$I$10</formula1>
    </dataValidation>
    <dataValidation type="list" errorStyle="information" allowBlank="1" showInputMessage="1" showErrorMessage="1" sqref="B1" xr:uid="{2C3FFEEC-AA8C-4D66-A7C1-61B56BF62A61}">
      <formula1>"Pending Works"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ortByDeadlineExcludingColumnA">
                <anchor moveWithCells="1" sizeWithCells="1">
                  <from>
                    <xdr:col>3</xdr:col>
                    <xdr:colOff>47625</xdr:colOff>
                    <xdr:row>0</xdr:row>
                    <xdr:rowOff>28575</xdr:rowOff>
                  </from>
                  <to>
                    <xdr:col>3</xdr:col>
                    <xdr:colOff>819150</xdr:colOff>
                    <xdr:row>0</xdr:row>
                    <xdr:rowOff>190500</xdr:rowOff>
                  </to>
                </anchor>
              </controlPr>
            </control>
          </mc:Choice>
        </mc:AlternateContent>
        <mc:AlternateContent xmlns:mc="http://schemas.openxmlformats.org/markup-compatibility/2006">
          <mc:Choice Requires="x14">
            <control shapeId="1028" r:id="rId5" name="Button 4">
              <controlPr defaultSize="0" print="0" autoFill="0" autoPict="0" macro="[0]!SortByClientGroupExcludingColumnA">
                <anchor moveWithCells="1" sizeWithCells="1">
                  <from>
                    <xdr:col>2</xdr:col>
                    <xdr:colOff>19050</xdr:colOff>
                    <xdr:row>0</xdr:row>
                    <xdr:rowOff>47625</xdr:rowOff>
                  </from>
                  <to>
                    <xdr:col>2</xdr:col>
                    <xdr:colOff>876300</xdr:colOff>
                    <xdr:row>0</xdr:row>
                    <xdr:rowOff>200025</xdr:rowOff>
                  </to>
                </anchor>
              </controlPr>
            </control>
          </mc:Choice>
        </mc:AlternateContent>
        <mc:AlternateContent xmlns:mc="http://schemas.openxmlformats.org/markup-compatibility/2006">
          <mc:Choice Requires="x14">
            <control shapeId="1031" r:id="rId6" name="Button 7">
              <controlPr defaultSize="0" print="0" autoFill="0" autoPict="0" macro="[0]!SortByWherePendingExcludingColumnA">
                <anchor moveWithCells="1" sizeWithCells="1">
                  <from>
                    <xdr:col>4</xdr:col>
                    <xdr:colOff>47625</xdr:colOff>
                    <xdr:row>0</xdr:row>
                    <xdr:rowOff>28575</xdr:rowOff>
                  </from>
                  <to>
                    <xdr:col>4</xdr:col>
                    <xdr:colOff>990600</xdr:colOff>
                    <xdr:row>0</xdr:row>
                    <xdr:rowOff>219075</xdr:rowOff>
                  </to>
                </anchor>
              </controlPr>
            </control>
          </mc:Choice>
        </mc:AlternateContent>
        <mc:AlternateContent xmlns:mc="http://schemas.openxmlformats.org/markup-compatibility/2006">
          <mc:Choice Requires="x14">
            <control shapeId="1033" r:id="rId7" name="Button 9">
              <controlPr defaultSize="0" print="0" autoFill="0" autoPict="0" macro="[0]!Task_Filter">
                <anchor moveWithCells="1" sizeWithCells="1">
                  <from>
                    <xdr:col>1</xdr:col>
                    <xdr:colOff>66675</xdr:colOff>
                    <xdr:row>0</xdr:row>
                    <xdr:rowOff>38100</xdr:rowOff>
                  </from>
                  <to>
                    <xdr:col>1</xdr:col>
                    <xdr:colOff>942975</xdr:colOff>
                    <xdr:row>0</xdr:row>
                    <xdr:rowOff>209550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4" operator="containsText" id="{6F246D7C-EDDD-4C43-88F2-BF4427CE281B}">
            <xm:f>NOT(ISERROR(SEARCH($I$6,E3)))</xm:f>
            <xm:f>$I$6</xm:f>
            <x14:dxf>
              <font>
                <color rgb="FF9C0006"/>
              </font>
              <fill>
                <patternFill>
                  <bgColor rgb="FFFFC7CE"/>
                </patternFill>
              </fill>
            </x14:dxf>
          </x14:cfRule>
          <x14:cfRule type="containsText" priority="5" operator="containsText" id="{95074ABB-8CA2-4FA1-955F-A9E6D4464999}">
            <xm:f>NOT(ISERROR(SEARCH($I$5,E3)))</xm:f>
            <xm:f>$I$5</xm:f>
            <x14:dxf>
              <fill>
                <patternFill>
                  <bgColor rgb="FFFFFF00"/>
                </patternFill>
              </fill>
            </x14:dxf>
          </x14:cfRule>
          <x14:cfRule type="containsText" priority="6" operator="containsText" id="{5FA6F438-2A16-4B61-BAC9-9F3901CFD4F2}">
            <xm:f>NOT(ISERROR(SEARCH($I$4,E3)))</xm:f>
            <xm:f>$I$4</xm:f>
            <x14:dxf>
              <fill>
                <patternFill>
                  <bgColor rgb="FF00B0F0"/>
                </patternFill>
              </fill>
            </x14:dxf>
          </x14:cfRule>
          <x14:cfRule type="containsText" priority="7" operator="containsText" id="{AD094A08-79F0-4728-8FDF-C5D3E30A21AF}">
            <xm:f>NOT(ISERROR(SEARCH($I$3,E3)))</xm:f>
            <xm:f>$I$3</xm:f>
            <x14:dxf>
              <font>
                <color rgb="FF9C0006"/>
              </font>
            </x14:dxf>
          </x14:cfRule>
          <xm:sqref>E3:E105</xm:sqref>
        </x14:conditionalFormatting>
        <x14:conditionalFormatting xmlns:xm="http://schemas.microsoft.com/office/excel/2006/main">
          <x14:cfRule type="containsText" priority="2" operator="containsText" id="{8186C11D-9E0B-491B-8804-135505B2AE1C}">
            <xm:f>NOT(ISERROR(SEARCH($B$1,B3)))</xm:f>
            <xm:f>$B$1</xm:f>
            <x14:dxf>
              <font>
                <color rgb="FF9C0006"/>
              </font>
              <fill>
                <patternFill>
                  <bgColor rgb="FFFFC7CE"/>
                </patternFill>
              </fill>
            </x14:dxf>
          </x14:cfRule>
          <xm:sqref>B3:B105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84DD7-36EA-4978-8EAF-D68C0CFC6E0E}">
  <sheetPr codeName="Sheet2"/>
  <dimension ref="A1"/>
  <sheetViews>
    <sheetView zoomScale="295" zoomScaleNormal="295" workbookViewId="0">
      <selection activeCell="A2" sqref="A2"/>
    </sheetView>
  </sheetViews>
  <sheetFormatPr defaultRowHeight="15" x14ac:dyDescent="0.25"/>
  <sheetData>
    <row r="1" spans="1:1" x14ac:dyDescent="0.25">
      <c r="A1" t="s">
        <v>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F65EC-16AD-44B0-BF7A-1E8870E6CABE}">
  <sheetPr codeName="Sheet3"/>
  <dimension ref="B2:D10"/>
  <sheetViews>
    <sheetView showGridLines="0" workbookViewId="0"/>
  </sheetViews>
  <sheetFormatPr defaultRowHeight="15" x14ac:dyDescent="0.25"/>
  <cols>
    <col min="2" max="2" width="3.85546875" customWidth="1"/>
    <col min="3" max="3" width="18.140625" bestFit="1" customWidth="1"/>
    <col min="4" max="4" width="12.85546875" bestFit="1" customWidth="1"/>
  </cols>
  <sheetData>
    <row r="2" spans="2:4" x14ac:dyDescent="0.25">
      <c r="B2" s="7" t="s">
        <v>8</v>
      </c>
    </row>
    <row r="4" spans="2:4" x14ac:dyDescent="0.25">
      <c r="C4" s="8" t="s">
        <v>2</v>
      </c>
      <c r="D4" t="s">
        <v>9</v>
      </c>
    </row>
    <row r="5" spans="2:4" x14ac:dyDescent="0.25">
      <c r="C5" t="s">
        <v>3</v>
      </c>
      <c r="D5">
        <v>30</v>
      </c>
    </row>
    <row r="6" spans="2:4" x14ac:dyDescent="0.25">
      <c r="C6" t="s">
        <v>4</v>
      </c>
      <c r="D6">
        <v>17</v>
      </c>
    </row>
    <row r="7" spans="2:4" x14ac:dyDescent="0.25">
      <c r="C7" t="s">
        <v>7</v>
      </c>
      <c r="D7">
        <v>1</v>
      </c>
    </row>
    <row r="8" spans="2:4" x14ac:dyDescent="0.25">
      <c r="C8" t="s">
        <v>5</v>
      </c>
      <c r="D8">
        <v>1</v>
      </c>
    </row>
    <row r="9" spans="2:4" x14ac:dyDescent="0.25">
      <c r="C9" t="s">
        <v>10</v>
      </c>
      <c r="D9">
        <v>0</v>
      </c>
    </row>
    <row r="10" spans="2:4" x14ac:dyDescent="0.25">
      <c r="C10" t="s">
        <v>11</v>
      </c>
      <c r="D10">
        <v>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67949-077C-48C9-91FD-1B586062DB20}">
  <dimension ref="B2:D10"/>
  <sheetViews>
    <sheetView showGridLines="0" workbookViewId="0"/>
  </sheetViews>
  <sheetFormatPr defaultRowHeight="15" x14ac:dyDescent="0.25"/>
  <cols>
    <col min="2" max="2" width="3.85546875" customWidth="1"/>
    <col min="3" max="3" width="18.140625" bestFit="1" customWidth="1"/>
    <col min="4" max="4" width="24.42578125" bestFit="1" customWidth="1"/>
  </cols>
  <sheetData>
    <row r="2" spans="2:4" x14ac:dyDescent="0.25">
      <c r="B2" s="7" t="s">
        <v>23</v>
      </c>
    </row>
    <row r="4" spans="2:4" x14ac:dyDescent="0.25">
      <c r="C4" s="8" t="s">
        <v>2</v>
      </c>
      <c r="D4" t="s">
        <v>24</v>
      </c>
    </row>
    <row r="5" spans="2:4" x14ac:dyDescent="0.25">
      <c r="C5" t="s">
        <v>3</v>
      </c>
      <c r="D5" s="15">
        <v>1</v>
      </c>
    </row>
    <row r="6" spans="2:4" x14ac:dyDescent="0.25">
      <c r="C6" t="s">
        <v>7</v>
      </c>
      <c r="D6" s="15">
        <v>1</v>
      </c>
    </row>
    <row r="7" spans="2:4" x14ac:dyDescent="0.25">
      <c r="C7" t="s">
        <v>4</v>
      </c>
      <c r="D7" s="15">
        <v>1</v>
      </c>
    </row>
    <row r="8" spans="2:4" x14ac:dyDescent="0.25">
      <c r="C8" t="s">
        <v>5</v>
      </c>
      <c r="D8" s="15">
        <v>1</v>
      </c>
    </row>
    <row r="9" spans="2:4" x14ac:dyDescent="0.25">
      <c r="C9" t="s">
        <v>10</v>
      </c>
      <c r="D9" s="15"/>
    </row>
    <row r="10" spans="2:4" x14ac:dyDescent="0.25">
      <c r="C10" t="s">
        <v>11</v>
      </c>
      <c r="D10" s="15">
        <v>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Sheet3</vt:lpstr>
      <vt:lpstr>Sheet2</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Atal Bihari</dc:creator>
  <cp:lastModifiedBy>k41695</cp:lastModifiedBy>
  <dcterms:created xsi:type="dcterms:W3CDTF">2024-12-18T15:02:15Z</dcterms:created>
  <dcterms:modified xsi:type="dcterms:W3CDTF">2026-03-25T11:17:43Z</dcterms:modified>
</cp:coreProperties>
</file>